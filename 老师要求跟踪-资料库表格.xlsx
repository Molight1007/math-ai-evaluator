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老师要求跟踪" sheetId="1" state="visible" r:id="rId1"/>
    <sheet xmlns:r="http://schemas.openxmlformats.org/officeDocument/2006/relationships" name="统计汇总" sheetId="2" state="visible" r:id="rId2"/>
  </sheets>
  <definedNames>
    <definedName name="_xlnm._FilterDatabase" localSheetId="0" hidden="1">'老师要求跟踪'!$A$1:$H$34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9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4" customWidth="1" min="4" max="4"/>
    <col width="8" customWidth="1" min="5" max="5"/>
    <col width="9" customWidth="1" min="6" max="6"/>
    <col width="55" customWidth="1" min="7" max="7"/>
    <col width="20" customWidth="1" min="8" max="8"/>
  </cols>
  <sheetData>
    <row r="1" ht="22" customHeight="1">
      <c r="A1" s="1" t="inlineStr">
        <is>
          <t>序号</t>
        </is>
      </c>
      <c r="B1" s="1" t="inlineStr">
        <is>
          <t>要求内容</t>
        </is>
      </c>
      <c r="C1" s="1" t="inlineStr">
        <is>
          <t>类别</t>
        </is>
      </c>
      <c r="D1" s="1" t="inlineStr">
        <is>
          <t>来源对话日期</t>
        </is>
      </c>
      <c r="E1" s="1" t="inlineStr">
        <is>
          <t>优先级</t>
        </is>
      </c>
      <c r="F1" s="1" t="inlineStr">
        <is>
          <t>状态</t>
        </is>
      </c>
      <c r="G1" s="1" t="inlineStr">
        <is>
          <t>我的进展</t>
        </is>
      </c>
      <c r="H1" s="1" t="inlineStr">
        <is>
          <t>关联对话</t>
        </is>
      </c>
    </row>
    <row r="2">
      <c r="A2" s="2" t="n">
        <v>3</v>
      </c>
      <c r="B2" s="3" t="inlineStr">
        <is>
          <t>问题理解阶段：让书生对问题给出 Lean 形式化表达，用 Lean 工具判断形式化是否正确；形式化正确后方可进入求解（避免一步错步步错）</t>
        </is>
      </c>
      <c r="C2" s="3" t="inlineStr">
        <is>
          <t>验证/Mathlib</t>
        </is>
      </c>
      <c r="D2" s="4" t="inlineStr">
        <is>
          <t>2026-08-25T00:00:00Z</t>
        </is>
      </c>
      <c r="E2" s="5" t="inlineStr">
        <is>
          <t>中</t>
        </is>
      </c>
      <c r="F2" s="6" t="inlineStr">
        <is>
          <t>进行中</t>
        </is>
      </c>
      <c r="G2" s="3" t="inlineStr">
        <is>
          <t>代码已实现题目→Lean声明(formalize_problem,allow_sorry)并编译校验理解；但因临时目录无mathlib工程，实际多降级unknown，仅起理解题兜底</t>
        </is>
      </c>
      <c r="H2" s="3" t="inlineStr">
        <is>
          <t>李老师8/25方案</t>
        </is>
      </c>
    </row>
    <row r="3">
      <c r="A3" s="2" t="n">
        <v>5</v>
      </c>
      <c r="B3" s="3" t="inlineStr">
        <is>
          <t>系统构建需达到 LangGraph + harness 组合层次；即便不显性用框架，也要覆盖要点：上下文布局、loop 设计、任务委派、hook 使用、memory、可观测性</t>
        </is>
      </c>
      <c r="C3" s="3" t="inlineStr">
        <is>
          <t>系统架构</t>
        </is>
      </c>
      <c r="D3" s="4" t="inlineStr">
        <is>
          <t>2026-08-20T00:00:00Z</t>
        </is>
      </c>
      <c r="E3" s="5" t="inlineStr">
        <is>
          <t>高</t>
        </is>
      </c>
      <c r="F3" s="7" t="inlineStr">
        <is>
          <t>进行中</t>
        </is>
      </c>
      <c r="G3" s="3" t="inlineStr">
        <is>
          <t>【降级 · 不引入框架】仅出一页对照说明，逐条论证自研 harness 如何等价覆盖 「上下文布局 / loop 设计 / 任务委派 / hook / memory / 可观测性」6 要素。截止 9/12。
部分实现。有自研harness(loop/子智能体委派/黑板/可观测性/护栏)，但非LangGraph框架，无图编排、无hook注册、无LangMem持久记忆</t>
        </is>
      </c>
      <c r="H3" s="3" t="inlineStr">
        <is>
          <t>李老师8/20</t>
        </is>
      </c>
    </row>
    <row r="4">
      <c r="A4" s="2" t="n">
        <v>6</v>
      </c>
      <c r="B4" s="3" t="inlineStr">
        <is>
          <t>找出瓶颈再优化：在数学问题的 问题理解/领域与题型识别/问题分解/长推理链 各环节定位瓶颈，由瓶颈决定技术优化方向</t>
        </is>
      </c>
      <c r="C4" s="3" t="inlineStr">
        <is>
          <t>系统架构</t>
        </is>
      </c>
      <c r="D4" s="4" t="inlineStr">
        <is>
          <t>2026-08-20T00:00:00Z</t>
        </is>
      </c>
      <c r="E4" s="7" t="inlineStr">
        <is>
          <t>高</t>
        </is>
      </c>
      <c r="F4" s="6" t="inlineStr">
        <is>
          <t>进行中</t>
        </is>
      </c>
      <c r="G4" s="3" t="inlineStr">
        <is>
          <t>【降级 · 不单独投入人天】用 #44 埋点数据自动生成瓶颈分布报告，随 #40 产出。
已实现问题理解/题型识别/分解/长推理链的分阶段处理，但'定位瓶颈再优化'的系统化分析尚未做</t>
        </is>
      </c>
      <c r="H4" s="3" t="inlineStr">
        <is>
          <t>李老师8/20</t>
        </is>
      </c>
    </row>
    <row r="5">
      <c r="A5" s="2" t="n">
        <v>11</v>
      </c>
      <c r="B5" s="3" t="inlineStr">
        <is>
          <t>错误粗分两类（推理性/非推理性），分析当前哪类占多数，聚焦推理错误从提示词入手解决</t>
        </is>
      </c>
      <c r="C5" s="3" t="inlineStr">
        <is>
          <t>提示词推理</t>
        </is>
      </c>
      <c r="D5" s="4" t="inlineStr">
        <is>
          <t>2026-08-25T00:00:00Z</t>
        </is>
      </c>
      <c r="E5" s="7" t="inlineStr">
        <is>
          <t>中</t>
        </is>
      </c>
      <c r="F5" s="7" t="inlineStr">
        <is>
          <t>进行中</t>
        </is>
      </c>
      <c r="G5" s="3" t="inlineStr">
        <is>
          <t>部分实现。仅在测试工具离线分析脚本做更细错误分类统计，非智能体运行时；且为多维分类非'推理性/非推理性'两分</t>
        </is>
      </c>
      <c r="H5" s="3" t="inlineStr">
        <is>
          <t>李老师8/25</t>
        </is>
      </c>
    </row>
    <row r="6">
      <c r="A6" s="2" t="n">
        <v>13</v>
      </c>
      <c r="B6" s="3" t="inlineStr">
        <is>
          <t>记忆功能关键：多轮上下文设计既要保持前后延续性又要保持细节注意力；尝试 LangMem / 定制记忆智能体模板（参考书中5.4节与Re-Act循环）</t>
        </is>
      </c>
      <c r="C6" s="3" t="inlineStr">
        <is>
          <t>记忆系统</t>
        </is>
      </c>
      <c r="D6" s="4" t="inlineStr">
        <is>
          <t>2026-08-25T00:00:00Z</t>
        </is>
      </c>
      <c r="E6" s="5" t="inlineStr">
        <is>
          <t>高</t>
        </is>
      </c>
      <c r="F6" s="6" t="inlineStr">
        <is>
          <t>待办</t>
        </is>
      </c>
      <c r="G6" s="3" t="inlineStr">
        <is>
          <t>未实现。仅单题内共享黑板，无跨题/跨会话持久记忆，未用LangMem或定制记忆模板</t>
        </is>
      </c>
      <c r="H6" s="3" t="inlineStr">
        <is>
          <t>李老师8/25</t>
        </is>
      </c>
    </row>
    <row r="7">
      <c r="A7" s="2" t="n">
        <v>16</v>
      </c>
      <c r="B7" s="3" t="inlineStr">
        <is>
          <t>对错误回答甄别（题目已知前提下），定位错误是推理链问题还是理解问题</t>
        </is>
      </c>
      <c r="C7" s="3" t="inlineStr">
        <is>
          <t>测试基准</t>
        </is>
      </c>
      <c r="D7" s="4" t="inlineStr">
        <is>
          <t>2026-08-20T00:00:00Z</t>
        </is>
      </c>
      <c r="E7" s="5" t="inlineStr">
        <is>
          <t>高</t>
        </is>
      </c>
      <c r="F7" s="6" t="inlineStr">
        <is>
          <t>待办</t>
        </is>
      </c>
      <c r="G7" s="3" t="inlineStr">
        <is>
          <t>未实现。智能体未对错误回答做'推理链vs理解'显式甄别，仅离线判分工具有相近字段</t>
        </is>
      </c>
      <c r="H7" s="3" t="inlineStr">
        <is>
          <t>李老师8/20</t>
        </is>
      </c>
    </row>
    <row r="8">
      <c r="A8" s="2" t="n">
        <v>17</v>
      </c>
      <c r="B8" s="3" t="inlineStr">
        <is>
          <t>尝试并行接入多个模型，分别对书生推理过程判断后综合处理（deepseek 不可完全信任）</t>
        </is>
      </c>
      <c r="C8" s="3" t="inlineStr">
        <is>
          <t>测试基准</t>
        </is>
      </c>
      <c r="D8" s="4" t="inlineStr">
        <is>
          <t>2026-08-12T00:00:00Z</t>
        </is>
      </c>
      <c r="E8" s="7" t="inlineStr">
        <is>
          <t>中</t>
        </is>
      </c>
      <c r="F8" s="8" t="inlineStr">
        <is>
          <t>待办</t>
        </is>
      </c>
      <c r="G8" s="3" t="inlineStr">
        <is>
          <t>未实现。运行时单一模型投票，无并行多模型动态融合</t>
        </is>
      </c>
      <c r="H8" s="3" t="inlineStr">
        <is>
          <t>李老师8/12</t>
        </is>
      </c>
    </row>
    <row r="9">
      <c r="A9" s="2" t="n">
        <v>18</v>
      </c>
      <c r="B9" s="3" t="inlineStr">
        <is>
          <t>区分长推理中「上下文过大」与「上下文丢失」（若无持久化会话中断会丢失），针对性处理</t>
        </is>
      </c>
      <c r="C9" s="3" t="inlineStr">
        <is>
          <t>测试基准</t>
        </is>
      </c>
      <c r="D9" s="4" t="inlineStr">
        <is>
          <t>2026-08-15T00:00:00Z</t>
        </is>
      </c>
      <c r="E9" s="7" t="inlineStr">
        <is>
          <t>中</t>
        </is>
      </c>
      <c r="F9" s="6" t="inlineStr">
        <is>
          <t>待办</t>
        </is>
      </c>
      <c r="G9" s="3" t="inlineStr">
        <is>
          <t>未实现。仅有上下文超长重试与文件断点续跑，未区分'过大'与'丢失'</t>
        </is>
      </c>
      <c r="H9" s="3" t="inlineStr">
        <is>
          <t>李老师8/15</t>
        </is>
      </c>
    </row>
    <row r="10">
      <c r="A10" s="2" t="n">
        <v>20</v>
      </c>
      <c r="B10" s="3" t="inlineStr">
        <is>
          <t>用新书生模型（Intern-S2-Preview-397B）打榜并跑测试基准，反馈结果</t>
        </is>
      </c>
      <c r="C10" s="3" t="inlineStr">
        <is>
          <t>模型harness</t>
        </is>
      </c>
      <c r="D10" s="4" t="inlineStr">
        <is>
          <t>2026-08-15T00:00:00Z</t>
        </is>
      </c>
      <c r="E10" s="7" t="inlineStr">
        <is>
          <t>中</t>
        </is>
      </c>
      <c r="F10" s="8" t="inlineStr">
        <is>
          <t>进行中</t>
        </is>
      </c>
      <c r="G10" s="3" t="inlineStr">
        <is>
          <t>需确认Intern-S2-Preview-397B等新版模型是否已接入打榜与基准测试流程</t>
        </is>
      </c>
      <c r="H10" s="3" t="inlineStr">
        <is>
          <t>李老师8/15</t>
        </is>
      </c>
    </row>
    <row r="11">
      <c r="A11" s="2" t="n">
        <v>21</v>
      </c>
      <c r="B11" s="3" t="inlineStr">
        <is>
          <t>提交材料需提炼出有价值结论，页面内容做深度提炼（初赛40%来自材料与演示）</t>
        </is>
      </c>
      <c r="C11" s="3" t="inlineStr">
        <is>
          <t>材料产出</t>
        </is>
      </c>
      <c r="D11" s="4" t="inlineStr">
        <is>
          <t>2026-08-20T00:00:00Z</t>
        </is>
      </c>
      <c r="E11" s="5" t="inlineStr">
        <is>
          <t>高</t>
        </is>
      </c>
      <c r="F11" s="8" t="inlineStr">
        <is>
          <t>待办</t>
        </is>
      </c>
      <c r="G11" s="3" t="inlineStr">
        <is>
          <t>材料层面，非代码。提交材料需提炼有价值结论，目前未系统做</t>
        </is>
      </c>
      <c r="H11" s="3" t="inlineStr">
        <is>
          <t>李老师8/20</t>
        </is>
      </c>
    </row>
    <row r="12">
      <c r="A12" s="2" t="n">
        <v>22</v>
      </c>
      <c r="B12" s="3" t="inlineStr">
        <is>
          <t>将比赛前后经历总结外化为专利和论文，眼光放长远（不只是一锤子买卖）</t>
        </is>
      </c>
      <c r="C12" s="3" t="inlineStr">
        <is>
          <t>材料产出</t>
        </is>
      </c>
      <c r="D12" s="4" t="inlineStr">
        <is>
          <t>2026-08-20T00:00:00Z</t>
        </is>
      </c>
      <c r="E12" s="7" t="inlineStr">
        <is>
          <t>中</t>
        </is>
      </c>
      <c r="F12" s="6" t="inlineStr">
        <is>
          <t>待办</t>
        </is>
      </c>
      <c r="G12" s="3" t="inlineStr">
        <is>
          <t>未实现(产出层面)。可外化专利论文</t>
        </is>
      </c>
      <c r="H12" s="3" t="inlineStr">
        <is>
          <t>李老师8/20</t>
        </is>
      </c>
    </row>
    <row r="13">
      <c r="A13" s="2" t="n">
        <v>28</v>
      </c>
      <c r="B13" s="3" t="inlineStr">
        <is>
          <t>骨架/sketch 的严谨性需经 Lean 语法与类型审核：书生给出的 sketch 必须先过 Lean 语法检查，确认形式化骨架合法后再推进（形式化前置审核阶段化）。</t>
        </is>
      </c>
      <c r="C13" s="3" t="inlineStr">
        <is>
          <t>验证/Mathlib</t>
        </is>
      </c>
      <c r="D13" s="4" t="inlineStr">
        <is>
          <t>2026-08-26T00:00:00Z</t>
        </is>
      </c>
      <c r="E13" s="7" t="inlineStr">
        <is>
          <t>高</t>
        </is>
      </c>
      <c r="F13" s="8" t="inlineStr">
        <is>
          <t>进行中</t>
        </is>
      </c>
      <c r="G13" s="3" t="inlineStr">
        <is>
          <t>已落地：LeanBridge.audit_sketch() 把骨架形式化为 Lean 骨架声明（theorem subgoal_i := by sorry + main_goal），声明模式编译校验严谨性，失败抽取 formal_gaps；LeanPreVerifier.generate_and_audit_sketch() 默认启用，生成骨架→Lean审核→缺口并入 formal_gaps 供子目标规划。复用 formalize_problem + formal_gaps。代码逻辑单测通过；端到端 Lean 编译验证待 mathlib 本地构建完成（当前工程目录构建中）。｜已纳入 LEAP 复现计划 Phase 2，audit_sketch 扩展为整棵 DAG 树审核</t>
        </is>
      </c>
      <c r="H13" s="3" t="inlineStr">
        <is>
          <t>李老师8/26 19:09/19:13</t>
        </is>
      </c>
    </row>
    <row r="14">
      <c r="A14" s="2" t="n">
        <v>34</v>
      </c>
      <c r="B14" s="3" t="inlineStr">
        <is>
          <t>复现 LEAP 论文三阶段智能体框架（Blueprint DAG 分解→非形式到形式化搭桥→Lean 编译器引导的迭代精炼），作为 #26–#33 的统一落地载体；代码 github.com/google-deepmind/superhuman 的 leap/ 目录，Lean 4 + Mathlib</t>
        </is>
      </c>
      <c r="C14" s="3" t="inlineStr">
        <is>
          <t>系统架构</t>
        </is>
      </c>
      <c r="D14" s="4" t="inlineStr">
        <is>
          <t>2026-08-26T00:00:00Z</t>
        </is>
      </c>
      <c r="E14" s="5" t="inlineStr">
        <is>
          <t>高</t>
        </is>
      </c>
      <c r="F14" s="7" t="inlineStr">
        <is>
          <t>进行中</t>
        </is>
      </c>
      <c r="G14" s="3" t="inlineStr">
        <is>
          <t>【部分完成 · 材料待补】三阶段代码与对照实验已完成：框架+书生形式化 3/3、Blueprint DAG 2/3、裸书生 0/3（类型错/语法错/unknown tactic）。⚠ 2026-08-30 核查：资料库记录的产出 docs/LEAP复现介绍.docx 在磁盘上不存在；实际产出为 LEAP复现优化计划.md + tools/leap_eval.py + eval_A|B|C/leap_eval_*.json + 赛事提交版/docs/LEAP论文复现对照表.md。待补动作：①从 eval 数据提取对照表 ②生成 docs/LEAP复现介绍.md ③结论同步进 #21 汇报材料（计划 9/11 前）。DeepSeek 组按团队决定暂停。</t>
        </is>
      </c>
      <c r="H14" s="3" t="inlineStr">
        <is>
          <t>李老师8/26 LEAP论文方法</t>
        </is>
      </c>
    </row>
    <row r="15">
      <c r="A15" s="2" t="n">
        <v>36</v>
      </c>
      <c r="B15" s="3" t="inlineStr">
        <is>
          <t>对照实验验证框架价值：A 框架+书生（形式化 3/3、Blueprint DAG 2/3、裸书生 0/3）；A/B 开关对比（use_blueprint_dag true 4/4 vs false 待补）。</t>
        </is>
      </c>
      <c r="C15" s="3" t="inlineStr">
        <is>
          <t>测试基准</t>
        </is>
      </c>
      <c r="D15" s="4" t="inlineStr">
        <is>
          <t>2026-08-27T00:00:00Z</t>
        </is>
      </c>
      <c r="E15" s="7" t="inlineStr">
        <is>
          <t>高</t>
        </is>
      </c>
      <c r="F15" s="7" t="inlineStr">
        <is>
          <t>进行中</t>
        </is>
      </c>
      <c r="G15" s="3" t="inlineStr">
        <is>
          <t>进行中（8/27）：Lean-IMO-Bench Basic 3 题框架+书生形式化 3/3 正确；裸书生 0/3（类型错/语法错/unknown tactic）；题库 4 题 A/B 开关对比 4/4 vs 待补。书生 Blueprint JSON 输出不稳已强化提示词+解析兜底+重试 3 次。</t>
        </is>
      </c>
      <c r="H15" s="3" t="n"/>
    </row>
    <row r="16">
      <c r="A16" s="2" t="n">
        <v>39</v>
      </c>
      <c r="B16" s="3" t="inlineStr">
        <is>
          <t>持续推进测试基准实验，并明确当前存在哪些关键问题（阻塞项）。</t>
        </is>
      </c>
      <c r="C16" s="3" t="inlineStr">
        <is>
          <t>测试基准</t>
        </is>
      </c>
      <c r="D16" s="4" t="inlineStr">
        <is>
          <t>2026-08-28T00:00:00Z</t>
        </is>
      </c>
      <c r="E16" s="5" t="inlineStr">
        <is>
          <t>高</t>
        </is>
      </c>
      <c r="F16" s="8" t="inlineStr">
        <is>
          <t>进行中</t>
        </is>
      </c>
      <c r="G16" s="3" t="inlineStr">
        <is>
          <t>本地以 45 题为一轮，单轮 2-3 小时；比赛端由 lsq 同步优化，待其完成后再对齐修改。当前三个已知 bug：soft_budget 无人消费、lemma_repo 无人写入、leansearch 中文查询全空。</t>
        </is>
      </c>
      <c r="H16" s="3" t="inlineStr">
        <is>
          <t>李老师8/28 17:48</t>
        </is>
      </c>
    </row>
    <row r="17">
      <c r="A17" s="2" t="n">
        <v>40</v>
      </c>
      <c r="B17" s="3" t="inlineStr">
        <is>
          <t>评估定理检索环节的开销与有效性；老师判断“大模型直接调用定理造成的时间开销较大”。</t>
        </is>
      </c>
      <c r="C17" s="3" t="inlineStr">
        <is>
          <t>验证/Mathlib</t>
        </is>
      </c>
      <c r="D17" s="4" t="inlineStr">
        <is>
          <t>2026-08-28T00:00:00Z</t>
        </is>
      </c>
      <c r="E17" s="5" t="inlineStr">
        <is>
          <t>高</t>
        </is>
      </c>
      <c r="F17" s="7" t="inlineStr">
        <is>
          <t>进行中</t>
        </is>
      </c>
      <c r="G17" s="3" t="inlineStr">
        <is>
          <t>已把简单题的 Lean 前置（帮助理解题目那一次）去掉，仅 deep 难题保留。leansearch 单次默认返回 5 条。实测一次调用链路：检索 7 条 → 去重去掉 4 条 → 剩 3 条有用 → 最终只用到 1 条，冗余高、转化率低。当前缺少定理调用埋点，无法量化调用频次与去重后定理数。</t>
        </is>
      </c>
      <c r="H17" s="3" t="inlineStr">
        <is>
          <t>李老师8/28 18:37 / 8/29 16:33</t>
        </is>
      </c>
    </row>
    <row r="18">
      <c r="A18" s="2" t="n">
        <v>41</v>
      </c>
      <c r="B18" s="3" t="inlineStr">
        <is>
          <t>把 Mathlib 精简为“仅保留会用到的部分”，并随环境直接上传到比赛平台（比赛平台不带 Lean4/Mathlib）。</t>
        </is>
      </c>
      <c r="C18" s="3" t="inlineStr">
        <is>
          <t>系统架构</t>
        </is>
      </c>
      <c r="D18" s="4" t="inlineStr">
        <is>
          <t>2026-08-29T00:00:00Z</t>
        </is>
      </c>
      <c r="E18" s="7" t="inlineStr">
        <is>
          <t>高</t>
        </is>
      </c>
      <c r="F18" s="7" t="inlineStr">
        <is>
          <t>进行中</t>
        </is>
      </c>
      <c r="G18" s="3" t="inlineStr">
        <is>
          <t>【阻塞在外部】取决于比赛平台是否预装 Lean4/Mathlib。若 9/8 前确认平台不可用，建议删除本条、改为在 #21 材料中陈述方案。
按依赖闭包裁剪：Mathlib.Tactic 实测 337 olean / 0.11GB（此前 1.5-3GB 系按目录统计的误判）。改为随包上传。待确认：比赛平台是否真的未预装 Lean4/Mathlib。</t>
        </is>
      </c>
      <c r="H18" s="3" t="inlineStr">
        <is>
          <t>李老师8/29 15:46-15:59</t>
        </is>
      </c>
    </row>
    <row r="19">
      <c r="A19" s="2" t="n">
        <v>42</v>
      </c>
      <c r="B19" s="3" t="inlineStr">
        <is>
          <t>先考察本地环境下针对测试基准能做到的“理想正确率”上限，给出目标值。</t>
        </is>
      </c>
      <c r="C19" s="3" t="inlineStr">
        <is>
          <t>测试基准</t>
        </is>
      </c>
      <c r="D19" s="4" t="inlineStr">
        <is>
          <t>2026-08-29T00:00:00Z</t>
        </is>
      </c>
      <c r="E19" s="7" t="inlineStr">
        <is>
          <t>高</t>
        </is>
      </c>
      <c r="F19" s="7" t="inlineStr">
        <is>
          <t>进行中</t>
        </is>
      </c>
      <c r="G19" s="3" t="inlineStr">
        <is>
          <t>IMO 类题目引入本套工具后 26% → 41%。修完全部已知 bug 预期稳定 40%+。比赛端因答案格式要求更严格，需先做格式适配再测。单轮实验成本 2-3 小时/45 题，是主要瓶颈。</t>
        </is>
      </c>
      <c r="H19" s="3" t="inlineStr">
        <is>
          <t>李老师8/29 16:09</t>
        </is>
      </c>
    </row>
    <row r="20">
      <c r="A20" s="2" t="n">
        <v>46</v>
      </c>
      <c r="B20" s="3" t="inlineStr">
        <is>
          <t>明确单个子目标应检索出几条定理（top-k），并澄清“命中”的定义（命中不等于编译通过）。</t>
        </is>
      </c>
      <c r="C20" s="3" t="inlineStr">
        <is>
          <t>验证/Mathlib</t>
        </is>
      </c>
      <c r="D20" s="4" t="inlineStr">
        <is>
          <t>2026-08-29T00:00:00Z</t>
        </is>
      </c>
      <c r="E20" s="7" t="inlineStr">
        <is>
          <t>高</t>
        </is>
      </c>
      <c r="F20" s="8" t="inlineStr">
        <is>
          <t>进行中</t>
        </is>
      </c>
      <c r="G20" s="3" t="inlineStr">
        <is>
          <t>命中链路已澄清：先选相似候选 → 去重 → 验证 → 才是对 Lean 真正有用的。当前默认单次 5 条（上限）。实测 7 条→去重去掉 4 条→剩 3 条有用→最终用到 1 条。下一步在时间开销与返回条数间做权衡，并继续优化定理种类（已裁剪过一轮）。</t>
        </is>
      </c>
      <c r="H20" s="3" t="inlineStr">
        <is>
          <t>李老师8/29 23:13-23:33</t>
        </is>
      </c>
    </row>
    <row r="21">
      <c r="A21" s="2" t="n">
        <v>47</v>
      </c>
      <c r="B21" s="3" t="inlineStr">
        <is>
          <t>参考《LeanSearch v2: Global Premise Retrieval for Lean 4 Theorem Proving》(arXiv:2605.13137v2) 改进定理检索。</t>
        </is>
      </c>
      <c r="C21" s="3" t="inlineStr">
        <is>
          <t>验证/Mathlib</t>
        </is>
      </c>
      <c r="D21" s="4" t="inlineStr">
        <is>
          <t>2026-08-29T00:00:00Z</t>
        </is>
      </c>
      <c r="E21" s="7" t="inlineStr">
        <is>
          <t>高</t>
        </is>
      </c>
      <c r="F21" s="6" t="inlineStr">
        <is>
          <t>进行中</t>
        </is>
      </c>
      <c r="G21" s="3" t="inlineStr">
        <is>
          <t>2026-08-30 三优化已落地（资料库原标「待办」，按代码实况订正为「进行中）：①空集信号（blueprint_planner.py:447 / sub_goal_solver.py:312）②子目标级独立查询（sub_goal_solver.py:519）③deep_revise_rounds 1→2（orchestrator.py:544）。use_leansearch 默认开启，官方语义检索 leansearch.net 已接入（零 LLM，本地降级）。199 测试全绿，v4 完整 45 题验证中。⚠ 本地 45 题是计算题集，测不出证明题价值，需改用 tools/build_proof_bench.py（60 题证明基准）验证。论文《LeanSearch v2》(arXiv:2605.13137v2) 已入 ima 知识库「书生ai」。</t>
        </is>
      </c>
      <c r="H21" s="3" t="inlineStr">
        <is>
          <t>李老师8/29 23:36</t>
        </is>
      </c>
    </row>
    <row r="22">
      <c r="A22" s="2" t="n">
        <v>48</v>
      </c>
      <c r="B22" s="3" t="inlineStr">
        <is>
          <t>解答中若用到某个定理，书生（推理模型）侧是否需要一并给出该定理的证明？</t>
        </is>
      </c>
      <c r="C22" s="3" t="inlineStr">
        <is>
          <t>模型harness</t>
        </is>
      </c>
      <c r="D22" s="4" t="inlineStr">
        <is>
          <t>2026-08-29T00:00:00Z</t>
        </is>
      </c>
      <c r="E22" s="5" t="inlineStr">
        <is>
          <t>中</t>
        </is>
      </c>
      <c r="F22" s="7" t="inlineStr">
        <is>
          <t>待办</t>
        </is>
      </c>
      <c r="G22" s="3" t="inlineStr">
        <is>
          <t>已答复老师：是需要的。需在提示词与输出格式中落实“引用定理须附带其证明/依据”。</t>
        </is>
      </c>
      <c r="H22" s="3" t="inlineStr">
        <is>
          <t>李老师8/29 23:38</t>
        </is>
      </c>
    </row>
    <row r="23">
      <c r="A23" s="2" t="n">
        <v>49</v>
      </c>
      <c r="B23" s="3" t="inlineStr">
        <is>
          <t>保证时间充足、一步步做扎实：提高整体时间预算，与比赛的 6.5 小时上限对齐。</t>
        </is>
      </c>
      <c r="C23" s="3" t="inlineStr">
        <is>
          <t>系统架构</t>
        </is>
      </c>
      <c r="D23" s="4" t="inlineStr">
        <is>
          <t>2026-08-29T00:00:00Z</t>
        </is>
      </c>
      <c r="E23" s="7" t="inlineStr">
        <is>
          <t>高</t>
        </is>
      </c>
      <c r="F23" s="7" t="inlineStr">
        <is>
          <t>进行中</t>
        </is>
      </c>
      <c r="G23" s="3" t="inlineStr">
        <is>
          <t>并发换算已修（paper_cap 必须乘并发数）+ deep 配额闸（封顶 25%）+ 动态收紧，实测 4.27h（71% 利用率）；仅配额闸时 6.07h 仍超时，两道防线缺一不可。2026-08-30 已上调 user_agent.py:144 至 paper_target_time=19500s（5.42h），v4 完整 45 题验证中。⚠ 缺口：距比赛 6.5h（23400s）尚余 3900s 未利用；agent/paper_pacer.py:41 默认值仍为 18000。工具 tools/simulate_paper_budget.py。</t>
        </is>
      </c>
      <c r="H23" s="3" t="inlineStr">
        <is>
          <t>李老师8/29 16:20-16:58</t>
        </is>
      </c>
    </row>
    <row r="24">
      <c r="A24" s="2" t="n">
        <v>50</v>
      </c>
      <c r="B24" s="3" t="inlineStr">
        <is>
          <t>先验证 Mathlib 全量解题能力，若有一定幅度提升再考虑轻量化裁剪（删除冗余性大的定理）；裁剪必须保留所有底层基础公理和通用核心引理，不能破坏依赖链完整性；建议采用公信度高的裁剪工具，裁剪完成后做全量编译校验；另一好处是减少定理冗余带来的干扰。考察改进时不宜多个改进叠加，一个一个排查。</t>
        </is>
      </c>
      <c r="C24" s="3" t="inlineStr">
        <is>
          <t>验证/Mathlib</t>
        </is>
      </c>
      <c r="D24" s="4" t="inlineStr">
        <is>
          <t>2026-08-31T00:00:00Z</t>
        </is>
      </c>
      <c r="E24" s="7" t="inlineStr">
        <is>
          <t>中</t>
        </is>
      </c>
      <c r="F24" s="7" t="inlineStr">
        <is>
          <t>待办</t>
        </is>
      </c>
      <c r="G24" s="3" t="inlineStr">
        <is>
          <t>【待办】与 #41（精简上传）衔接深化。现状：lean_bridge 强制 import Mathlib→Mathlib.Tactic（闭包 337 olean/107MB），从未测过全量；本地全量 7589 olean/5.2GB 已构建。计划：证明题基准先跑「全量 vs 闭包」对照 → 有提升再做精细裁剪（保核心删冗余）→ 裁剪后全量编译校验。</t>
        </is>
      </c>
      <c r="H24" s="3" t="inlineStr">
        <is>
          <t>李老师8/31</t>
        </is>
      </c>
    </row>
    <row r="25">
      <c r="A25" s="2" t="n">
        <v>51</v>
      </c>
      <c r="B25" s="3" t="inlineStr">
        <is>
          <t>平台沙箱 LFS/工具链可行性测试：试探平台沙箱是否执行 LFS 初始化（git lfs checkout）；确认主仓切换（MathPilot-lean-toolchain 为平台仓）后 main 合并必要性流程；尽快出可行性测试结论</t>
        </is>
      </c>
      <c r="C25" s="3" t="inlineStr">
        <is>
          <t>验证/Mathlib</t>
        </is>
      </c>
      <c r="D25" s="4" t="inlineStr">
        <is>
          <t>2026-09-07T00:00:00Z</t>
        </is>
      </c>
      <c r="E25" s="7" t="inlineStr">
        <is>
          <t>高</t>
        </is>
      </c>
      <c r="F25" s="7" t="inlineStr">
        <is>
          <t>待办</t>
        </is>
      </c>
      <c r="G25" s="3" t="inlineStr">
        <is>
          <t>【部分完成】P2 主仓切换本地侧已闭环：lean 仓 root 形态一体化（代码全量 + Windows/Linux 双平台工具链同根 + mathlib closure-full + lsp-mcp wheels），lean_bridge root 形态探测链就位（Windows 仅认 .exe 防 ELF 误命中），Windows 真编译探针 exit=0；本地 commit 待 push，push 后走平台 T1/T2 阶梯测试验证沙箱行为</t>
        </is>
      </c>
      <c r="H25" s="3" t="inlineStr">
        <is>
          <t>李老师9/7 平台问答</t>
        </is>
      </c>
    </row>
    <row r="26">
      <c r="A26" s="2" t="n"/>
      <c r="B26" s="3" t="n"/>
      <c r="C26" s="3" t="n"/>
      <c r="D26" s="4" t="n"/>
      <c r="E26" s="9" t="n"/>
      <c r="F26" s="7" t="n"/>
      <c r="G26" s="3" t="n"/>
      <c r="H26" s="3" t="n"/>
    </row>
    <row r="27">
      <c r="A27" s="2" t="n"/>
      <c r="B27" s="3" t="n"/>
      <c r="C27" s="3" t="n"/>
      <c r="D27" s="4" t="n"/>
      <c r="E27" s="5" t="n"/>
      <c r="F27" s="7" t="n"/>
      <c r="G27" s="3" t="n"/>
      <c r="H27" s="3" t="n"/>
    </row>
    <row r="28">
      <c r="A28" s="2" t="n"/>
      <c r="B28" s="3" t="n"/>
      <c r="C28" s="3" t="n"/>
      <c r="D28" s="4" t="n"/>
      <c r="E28" s="5" t="n"/>
      <c r="F28" s="7" t="n"/>
      <c r="G28" s="3" t="n"/>
      <c r="H28" s="3" t="n"/>
    </row>
    <row r="29">
      <c r="A29" s="2" t="n"/>
      <c r="B29" s="3" t="n"/>
      <c r="C29" s="3" t="n"/>
      <c r="D29" s="4" t="n"/>
      <c r="E29" s="5" t="n"/>
      <c r="F29" s="6" t="n"/>
      <c r="G29" s="3" t="n"/>
      <c r="H29" s="3" t="n"/>
    </row>
    <row r="30">
      <c r="A30" s="2" t="n"/>
      <c r="B30" s="3" t="n"/>
      <c r="C30" s="3" t="n"/>
      <c r="D30" s="4" t="n"/>
      <c r="E30" s="5" t="n"/>
      <c r="F30" s="7" t="n"/>
      <c r="G30" s="3" t="n"/>
      <c r="H30" s="3" t="n"/>
    </row>
    <row r="31">
      <c r="A31" s="2" t="n"/>
      <c r="B31" s="3" t="n"/>
      <c r="C31" s="3" t="n"/>
      <c r="D31" s="4" t="n"/>
      <c r="E31" s="5" t="n"/>
      <c r="F31" s="7" t="n"/>
      <c r="G31" s="3" t="n"/>
      <c r="H31" s="3" t="n"/>
    </row>
    <row r="32">
      <c r="A32" s="2" t="n"/>
      <c r="B32" s="3" t="n"/>
      <c r="C32" s="3" t="n"/>
      <c r="D32" s="4" t="n"/>
      <c r="E32" s="7" t="n"/>
      <c r="F32" s="7" t="n"/>
      <c r="G32" s="3" t="n"/>
      <c r="H32" s="3" t="n"/>
    </row>
    <row r="33">
      <c r="A33" s="2" t="n"/>
      <c r="B33" s="3" t="n"/>
      <c r="C33" s="3" t="n"/>
      <c r="D33" s="4" t="n"/>
      <c r="E33" s="5" t="n"/>
      <c r="F33" s="7" t="n"/>
      <c r="G33" s="3" t="n"/>
      <c r="H33" s="3" t="n"/>
    </row>
    <row r="34">
      <c r="A34" s="2" t="n"/>
      <c r="B34" s="3" t="n"/>
      <c r="C34" s="3" t="n"/>
      <c r="D34" s="4" t="n"/>
      <c r="E34" s="7" t="n"/>
      <c r="F34" s="6" t="n"/>
      <c r="G34" s="3" t="n"/>
      <c r="H34" s="3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</sheetData>
  <autoFilter ref="A1:H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</cols>
  <sheetData>
    <row r="1">
      <c r="A1" s="10" t="inlineStr">
        <is>
          <t>状态</t>
        </is>
      </c>
      <c r="B1" s="10" t="inlineStr">
        <is>
          <t>数量</t>
        </is>
      </c>
      <c r="C1" s="10" t="inlineStr">
        <is>
          <t>优先级</t>
        </is>
      </c>
      <c r="D1" s="10" t="inlineStr">
        <is>
          <t>数量</t>
        </is>
      </c>
    </row>
    <row r="2">
      <c r="A2" s="11" t="inlineStr">
        <is>
          <t>已完成</t>
        </is>
      </c>
      <c r="B2" s="12">
        <f>COUNTIF(老师要求跟踪!$F$2:$F$25,A2)</f>
        <v/>
      </c>
      <c r="C2" s="11" t="inlineStr">
        <is>
          <t>高</t>
        </is>
      </c>
      <c r="D2" s="12">
        <f>COUNTIF(老师要求跟踪!$E$2:$E$25,C2)</f>
        <v/>
      </c>
    </row>
    <row r="3">
      <c r="A3" s="11" t="inlineStr">
        <is>
          <t>进行中</t>
        </is>
      </c>
      <c r="B3" s="12">
        <f>COUNTIF(老师要求跟踪!$F$2:$F$25,A3)</f>
        <v/>
      </c>
      <c r="C3" s="11" t="inlineStr">
        <is>
          <t>中</t>
        </is>
      </c>
      <c r="D3" s="12">
        <f>COUNTIF(老师要求跟踪!$E$2:$E$25,C3)</f>
        <v/>
      </c>
    </row>
    <row r="4">
      <c r="A4" s="11" t="inlineStr">
        <is>
          <t>待办</t>
        </is>
      </c>
      <c r="B4" s="12">
        <f>COUNTIF(老师要求跟踪!$F$2:$F$25,A4)</f>
        <v/>
      </c>
      <c r="C4" s="11" t="inlineStr">
        <is>
          <t>低</t>
        </is>
      </c>
      <c r="D4" s="12">
        <f>COUNTIF(老师要求跟踪!$E$2:$E$25,C4)</f>
        <v/>
      </c>
    </row>
    <row r="5">
      <c r="A5" s="13" t="inlineStr">
        <is>
          <t>合计</t>
        </is>
      </c>
      <c r="B5" s="14">
        <f>SUM(B2:B4)</f>
        <v/>
      </c>
      <c r="C5" s="13" t="inlineStr">
        <is>
          <t>合计</t>
        </is>
      </c>
      <c r="D5" s="14">
        <f>SUM(D2:D4)</f>
        <v/>
      </c>
    </row>
    <row r="6"/>
    <row r="7">
      <c r="A7" s="10" t="inlineStr">
        <is>
          <t>类别</t>
        </is>
      </c>
      <c r="B7" s="10" t="inlineStr">
        <is>
          <t>数量</t>
        </is>
      </c>
    </row>
    <row r="8">
      <c r="A8" s="11" t="inlineStr">
        <is>
          <t>验证/Mathlib</t>
        </is>
      </c>
      <c r="B8" s="12">
        <f>COUNTIF(老师要求跟踪!$C$2:$C$25,A8)</f>
        <v/>
      </c>
    </row>
    <row r="9">
      <c r="A9" s="11" t="inlineStr">
        <is>
          <t>系统架构</t>
        </is>
      </c>
      <c r="B9" s="12">
        <f>COUNTIF(老师要求跟踪!$C$2:$C$25,A9)</f>
        <v/>
      </c>
    </row>
    <row r="10">
      <c r="A10" s="11" t="inlineStr">
        <is>
          <t>记忆系统</t>
        </is>
      </c>
      <c r="B10" s="12">
        <f>COUNTIF(老师要求跟踪!$C$2:$C$25,A10)</f>
        <v/>
      </c>
    </row>
    <row r="11">
      <c r="A11" s="11" t="inlineStr">
        <is>
          <t>提示词推理</t>
        </is>
      </c>
      <c r="B11" s="12">
        <f>COUNTIF(老师要求跟踪!$C$2:$C$25,A11)</f>
        <v/>
      </c>
    </row>
    <row r="12">
      <c r="A12" s="11" t="inlineStr">
        <is>
          <t>测试基准</t>
        </is>
      </c>
      <c r="B12" s="12">
        <f>COUNTIF(老师要求跟踪!$C$2:$C$25,A12)</f>
        <v/>
      </c>
    </row>
    <row r="13">
      <c r="A13" s="11" t="inlineStr">
        <is>
          <t>模型harness</t>
        </is>
      </c>
      <c r="B13" s="12">
        <f>COUNTIF(老师要求跟踪!$C$2:$C$25,A13)</f>
        <v/>
      </c>
    </row>
    <row r="14">
      <c r="A14" s="11" t="inlineStr">
        <is>
          <t>材料产出</t>
        </is>
      </c>
      <c r="B14" s="12">
        <f>COUNTIF(老师要求跟踪!$C$2:$C$25,A14)</f>
        <v/>
      </c>
    </row>
    <row r="15">
      <c r="A15" s="11" t="inlineStr">
        <is>
          <t>管理协作</t>
        </is>
      </c>
      <c r="B15" s="12">
        <f>COUNTIF(老师要求跟踪!$C$2:$C$25,A15)</f>
        <v/>
      </c>
    </row>
    <row r="16">
      <c r="A16" s="13" t="inlineStr">
        <is>
          <t>合计</t>
        </is>
      </c>
      <c r="B16" s="14">
        <f>SUM(B8:B15)</f>
        <v/>
      </c>
    </row>
    <row r="17"/>
    <row r="18">
      <c r="A18" s="10" t="inlineStr">
        <is>
          <t>8/26 新增(#26-33)</t>
        </is>
      </c>
      <c r="B18" s="10" t="inlineStr">
        <is>
          <t>数量</t>
        </is>
      </c>
    </row>
    <row r="19">
      <c r="A19" s="11" t="inlineStr">
        <is>
          <t>新增条数</t>
        </is>
      </c>
      <c r="B19" s="12">
        <f>COUNTIF(老师要求跟踪!$A$2:$A$25,"&gt;=26")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2026-08-26T12:07:23Z</dcterms:created>
  <dcterms:modified xmlns:dcterms="http://purl.org/dc/terms/" xmlns:xsi="http://www.w3.org/2001/XMLSchema-instance" xsi:type="dcterms:W3CDTF">2026-09-07T04:28:07Z</dcterms:modified>
</cp:coreProperties>
</file>