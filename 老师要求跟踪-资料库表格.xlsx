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老师要求跟踪" sheetId="1" state="visible" r:id="rId1"/>
    <sheet xmlns:r="http://schemas.openxmlformats.org/officeDocument/2006/relationships" name="统计汇总" sheetId="2" state="visible" r:id="rId2"/>
  </sheets>
  <definedNames>
    <definedName name="_xlnm._FilterDatabase" localSheetId="0" hidden="1">'老师要求跟踪'!$A$1:$H$34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000000"/>
      <sz val="11"/>
    </font>
    <font>
      <name val="微软雅黑"/>
      <color rgb="00000000"/>
      <sz val="11"/>
    </font>
    <font>
      <name val="微软雅黑"/>
      <b val="1"/>
      <sz val="11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9" borderId="1" applyAlignment="1" pivotButton="0" quotePrefix="0" xfId="0">
      <alignment horizontal="center" vertical="center"/>
    </xf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2" customWidth="1" min="3" max="3"/>
    <col width="14" customWidth="1" min="4" max="4"/>
    <col width="8" customWidth="1" min="5" max="5"/>
    <col width="9" customWidth="1" min="6" max="6"/>
    <col width="55" customWidth="1" min="7" max="7"/>
    <col width="20" customWidth="1" min="8" max="8"/>
  </cols>
  <sheetData>
    <row r="1" ht="22" customHeight="1">
      <c r="A1" s="1" t="inlineStr">
        <is>
          <t>序号</t>
        </is>
      </c>
      <c r="B1" s="1" t="inlineStr">
        <is>
          <t>要求内容</t>
        </is>
      </c>
      <c r="C1" s="1" t="inlineStr">
        <is>
          <t>类别</t>
        </is>
      </c>
      <c r="D1" s="1" t="inlineStr">
        <is>
          <t>来源对话日期</t>
        </is>
      </c>
      <c r="E1" s="1" t="inlineStr">
        <is>
          <t>优先级</t>
        </is>
      </c>
      <c r="F1" s="1" t="inlineStr">
        <is>
          <t>状态</t>
        </is>
      </c>
      <c r="G1" s="1" t="inlineStr">
        <is>
          <t>我的进展</t>
        </is>
      </c>
      <c r="H1" s="1" t="inlineStr">
        <is>
          <t>关联对话</t>
        </is>
      </c>
    </row>
    <row r="2">
      <c r="A2" s="2" t="inlineStr">
        <is>
          <t>1</t>
        </is>
      </c>
      <c r="B2" s="3" t="inlineStr">
        <is>
          <t>核实项目是否真正用 Lean+Mathlib 对 AI 模型输出的数学解答做了形式化自动化验证（而非仅代码能跑通 mathlib）；落实链路：AI解答→Lean形式化(mathlib)→自动判定通过/不通过</t>
        </is>
      </c>
      <c r="C2" s="3" t="inlineStr">
        <is>
          <t>验证/Mathlib</t>
        </is>
      </c>
      <c r="D2" s="4" t="inlineStr">
        <is>
          <t>2026-08-25T00:00:00Z</t>
        </is>
      </c>
      <c r="E2" s="5" t="inlineStr">
        <is>
          <t>高</t>
        </is>
      </c>
      <c r="F2" s="6" t="inlineStr">
        <is>
          <t>已完成(基线验证)</t>
        </is>
      </c>
      <c r="G2" s="3" t="inlineStr">
        <is>
          <t>已核实并打通：Mathlib.Tactic 依赖闭包实测 337 olean/0.11GB；deploy/mathlib-olean 已打包(110MB)并编译探针验证 norm_num/ring/linarith/nlinarith/positivity/omega 全可用。验证目录已挂载 LEAN_PATH，硬验证不再降级 unknown</t>
        </is>
      </c>
      <c r="H2" s="3" t="inlineStr">
        <is>
          <t>李老师8/25核心质疑</t>
        </is>
      </c>
    </row>
    <row r="3">
      <c r="A3" s="2" t="inlineStr">
        <is>
          <t>2</t>
        </is>
      </c>
      <c r="B3" s="3" t="inlineStr">
        <is>
          <t>比赛环境也要带上 Mathlib（目前比赛库未传 mathlib），做 AB 测试验证本地与比赛正确率差异是否由 mathlib 缺失导致</t>
        </is>
      </c>
      <c r="C3" s="3" t="inlineStr">
        <is>
          <t>验证/Mathlib</t>
        </is>
      </c>
      <c r="D3" s="4" t="inlineStr">
        <is>
          <t>2026-08-25T00:00:00Z</t>
        </is>
      </c>
      <c r="E3" s="5" t="inlineStr">
        <is>
          <t>高</t>
        </is>
      </c>
      <c r="F3" s="7" t="inlineStr">
        <is>
          <t>已完成(方案A)</t>
        </is>
      </c>
      <c r="G3" s="3" t="inlineStr">
        <is>
          <t>方案 A 可行：Mathlib 闭包仅 110MB（此前 1.5-3GB 估算错误，根因是按目录拷贝）。tools/package_mathlib.py 按依赖清单打包 + 自验通过，可随比赛包携带</t>
        </is>
      </c>
      <c r="H3" s="3" t="inlineStr">
        <is>
          <t>李老师8/25 AB测试指示</t>
        </is>
      </c>
    </row>
    <row r="4">
      <c r="A4" s="2" t="inlineStr">
        <is>
          <t>3</t>
        </is>
      </c>
      <c r="B4" s="3" t="inlineStr">
        <is>
          <t>问题理解阶段：让书生对问题给出 Lean 形式化表达，用 Lean 工具判断形式化是否正确；形式化正确后方可进入求解（避免一步错步步错）</t>
        </is>
      </c>
      <c r="C4" s="3" t="inlineStr">
        <is>
          <t>验证/Mathlib</t>
        </is>
      </c>
      <c r="D4" s="4" t="inlineStr">
        <is>
          <t>2026-08-25T00:00:00Z</t>
        </is>
      </c>
      <c r="E4" s="7" t="inlineStr">
        <is>
          <t>中</t>
        </is>
      </c>
      <c r="F4" s="6" t="inlineStr">
        <is>
          <t>进行中</t>
        </is>
      </c>
      <c r="G4" s="3" t="inlineStr">
        <is>
          <t>代码已实现题目→Lean声明(formalize_problem,allow_sorry)并编译校验理解；但因临时目录无mathlib工程，实际多降级unknown，仅起理解题兜底</t>
        </is>
      </c>
      <c r="H4" s="3" t="inlineStr">
        <is>
          <t>李老师8/25方案</t>
        </is>
      </c>
    </row>
    <row r="5">
      <c r="A5" s="2" t="inlineStr">
        <is>
          <t>4</t>
        </is>
      </c>
      <c r="B5" s="3" t="inlineStr">
        <is>
          <t>将 Mathlib 作为 RAG 思路引入（按数学细分领域检索定理，参考 leansearch 思路），提升证明/验证能力</t>
        </is>
      </c>
      <c r="C5" s="3" t="inlineStr">
        <is>
          <t>验证/Mathlib</t>
        </is>
      </c>
      <c r="D5" s="4" t="inlineStr">
        <is>
          <t>2026-08-25T00:00:00Z</t>
        </is>
      </c>
      <c r="E5" s="7" t="inlineStr">
        <is>
          <t>中</t>
        </is>
      </c>
      <c r="F5" s="7" t="inlineStr">
        <is>
          <t>待办</t>
        </is>
      </c>
      <c r="G5" s="3" t="inlineStr">
        <is>
          <t>未实现。无按数学子领域检索Mathlib定理机制（类似leansearch）</t>
        </is>
      </c>
      <c r="H5" s="3" t="inlineStr">
        <is>
          <t>李老师8/25</t>
        </is>
      </c>
    </row>
    <row r="6">
      <c r="A6" s="2" t="inlineStr">
        <is>
          <t>5</t>
        </is>
      </c>
      <c r="B6" s="3" t="inlineStr">
        <is>
          <t>系统构建需达到 LangGraph + harness 组合层次；即便不显性用框架，也要覆盖要点：上下文布局、loop 设计、任务委派、hook 使用、memory、可观测性</t>
        </is>
      </c>
      <c r="C6" s="3" t="inlineStr">
        <is>
          <t>系统架构</t>
        </is>
      </c>
      <c r="D6" s="4" t="inlineStr">
        <is>
          <t>2026-08-20T00:00:00Z</t>
        </is>
      </c>
      <c r="E6" s="5" t="inlineStr">
        <is>
          <t>高</t>
        </is>
      </c>
      <c r="F6" s="6" t="inlineStr">
        <is>
          <t>进行中</t>
        </is>
      </c>
      <c r="G6" s="3" t="inlineStr">
        <is>
          <t>部分实现。有自研harness(loop/子智能体委派/黑板/可观测性/护栏)，但非LangGraph框架，无图编排、无hook注册、无LangMem持久记忆</t>
        </is>
      </c>
      <c r="H6" s="3" t="inlineStr">
        <is>
          <t>李老师8/20</t>
        </is>
      </c>
    </row>
    <row r="7">
      <c r="A7" s="2" t="inlineStr">
        <is>
          <t>6</t>
        </is>
      </c>
      <c r="B7" s="3" t="inlineStr">
        <is>
          <t>找出瓶颈再优化：在数学问题的 问题理解/领域与题型识别/问题分解/长推理链 各环节定位瓶颈，由瓶颈决定技术优化方向</t>
        </is>
      </c>
      <c r="C7" s="3" t="inlineStr">
        <is>
          <t>系统架构</t>
        </is>
      </c>
      <c r="D7" s="4" t="inlineStr">
        <is>
          <t>2026-08-20T00:00:00Z</t>
        </is>
      </c>
      <c r="E7" s="5" t="inlineStr">
        <is>
          <t>高</t>
        </is>
      </c>
      <c r="F7" s="6" t="inlineStr">
        <is>
          <t>进行中</t>
        </is>
      </c>
      <c r="G7" s="3" t="inlineStr">
        <is>
          <t>已实现问题理解/题型识别/分解/长推理链的分阶段处理，但'定位瓶颈再优化'的系统化分析尚未做</t>
        </is>
      </c>
      <c r="H7" s="3" t="inlineStr">
        <is>
          <t>李老师8/20</t>
        </is>
      </c>
    </row>
    <row r="8">
      <c r="A8" s="2" t="inlineStr">
        <is>
          <t>7</t>
        </is>
      </c>
      <c r="B8" s="3" t="inlineStr">
        <is>
          <t>子问题/分阶段划分：将问题划分为相对隔离的子问题分别求解，使上下文隔离、注意力聚焦</t>
        </is>
      </c>
      <c r="C8" s="3" t="inlineStr">
        <is>
          <t>系统架构</t>
        </is>
      </c>
      <c r="D8" s="4" t="inlineStr">
        <is>
          <t>2026-08-25T00:00:00Z</t>
        </is>
      </c>
      <c r="E8" s="7" t="inlineStr">
        <is>
          <t>中</t>
        </is>
      </c>
      <c r="F8" s="8" t="inlineStr">
        <is>
          <t>已完成</t>
        </is>
      </c>
      <c r="G8" s="3" t="inlineStr">
        <is>
          <t>已实现。SubGoalSolver将题拆为有序子目标逐步求解，并向前序结果注入实现上下文隔离</t>
        </is>
      </c>
      <c r="H8" s="3" t="inlineStr">
        <is>
          <t>李老师8/25</t>
        </is>
      </c>
    </row>
    <row r="9">
      <c r="A9" s="2" t="inlineStr">
        <is>
          <t>8</t>
        </is>
      </c>
      <c r="B9" s="3" t="inlineStr">
        <is>
          <t>角色设计考虑引理核验、步骤纠错；角色之间上下文冗余度尽量小</t>
        </is>
      </c>
      <c r="C9" s="3" t="inlineStr">
        <is>
          <t>系统架构</t>
        </is>
      </c>
      <c r="D9" s="4" t="inlineStr">
        <is>
          <t>2026-08-17T00:00:00Z</t>
        </is>
      </c>
      <c r="E9" s="7" t="inlineStr">
        <is>
          <t>中</t>
        </is>
      </c>
      <c r="F9" s="6" t="inlineStr">
        <is>
          <t>进行中</t>
        </is>
      </c>
      <c r="G9" s="3" t="inlineStr">
        <is>
          <t>部分实现。有四角色(解题/审查/整合/验证)与步骤错误分析；但引理核验角色默认关闭(use_lemma_accumulation=False)，未真正启用</t>
        </is>
      </c>
      <c r="H9" s="3" t="inlineStr">
        <is>
          <t>李老师8/17</t>
        </is>
      </c>
    </row>
    <row r="10">
      <c r="A10" s="2" t="inlineStr">
        <is>
          <t>9</t>
        </is>
      </c>
      <c r="B10" s="3" t="inlineStr">
        <is>
          <t>增加可观测性方便发现错误细节；评估 LangGraph 如何提供技术支撑并形成可行方案</t>
        </is>
      </c>
      <c r="C10" s="3" t="inlineStr">
        <is>
          <t>系统架构</t>
        </is>
      </c>
      <c r="D10" s="4" t="inlineStr">
        <is>
          <t>2026-08-25T00:00:00Z</t>
        </is>
      </c>
      <c r="E10" s="7" t="inlineStr">
        <is>
          <t>中</t>
        </is>
      </c>
      <c r="F10" s="8" t="inlineStr">
        <is>
          <t>已完成</t>
        </is>
      </c>
      <c r="G10" s="3" t="inlineStr">
        <is>
          <t>已实现。TaskContext共享黑板+record()全程trace可观测，评测报告靠trace生成</t>
        </is>
      </c>
      <c r="H10" s="3" t="inlineStr">
        <is>
          <t>李老师8/25</t>
        </is>
      </c>
    </row>
    <row r="11">
      <c r="A11" s="2" t="inlineStr">
        <is>
          <t>10</t>
        </is>
      </c>
      <c r="B11" s="3" t="inlineStr">
        <is>
          <t>提示词要具体、阶段化、针对性、隔离性；在适当阶段给出针对性强的提示词，使模型输出固定格式、对应性强的内容</t>
        </is>
      </c>
      <c r="C11" s="3" t="inlineStr">
        <is>
          <t>提示词推理</t>
        </is>
      </c>
      <c r="D11" s="4" t="inlineStr">
        <is>
          <t>2026-08-25T00:00:00Z</t>
        </is>
      </c>
      <c r="E11" s="5" t="inlineStr">
        <is>
          <t>高</t>
        </is>
      </c>
      <c r="F11" s="8" t="inlineStr">
        <is>
          <t>已完成</t>
        </is>
      </c>
      <c r="G11" s="3" t="inlineStr">
        <is>
          <t>已实现。prompts/按题型/阶段拆分，证明/纠错/子目标/验证各有专属prompt，并用prefill做答案前置隔离</t>
        </is>
      </c>
      <c r="H11" s="3" t="inlineStr">
        <is>
          <t>李老师8/25</t>
        </is>
      </c>
    </row>
    <row r="12">
      <c r="A12" s="2" t="inlineStr">
        <is>
          <t>11</t>
        </is>
      </c>
      <c r="B12" s="3" t="inlineStr">
        <is>
          <t>错误粗分两类（推理性/非推理性），分析当前哪类占多数，聚焦推理错误从提示词入手解决</t>
        </is>
      </c>
      <c r="C12" s="3" t="inlineStr">
        <is>
          <t>提示词推理</t>
        </is>
      </c>
      <c r="D12" s="4" t="inlineStr">
        <is>
          <t>2026-08-25T00:00:00Z</t>
        </is>
      </c>
      <c r="E12" s="7" t="inlineStr">
        <is>
          <t>中</t>
        </is>
      </c>
      <c r="F12" s="6" t="inlineStr">
        <is>
          <t>进行中</t>
        </is>
      </c>
      <c r="G12" s="3" t="inlineStr">
        <is>
          <t>部分实现。仅在测试工具离线分析脚本做更细错误分类统计，非智能体运行时；且为多维分类非'推理性/非推理性'两分</t>
        </is>
      </c>
      <c r="H12" s="3" t="inlineStr">
        <is>
          <t>李老师8/25</t>
        </is>
      </c>
    </row>
    <row r="13">
      <c r="A13" s="2" t="inlineStr">
        <is>
          <t>12</t>
        </is>
      </c>
      <c r="B13" s="3" t="inlineStr">
        <is>
          <t>任务书强调分布式推理；结合子问题划分落实</t>
        </is>
      </c>
      <c r="C13" s="3" t="inlineStr">
        <is>
          <t>提示词推理</t>
        </is>
      </c>
      <c r="D13" s="4" t="inlineStr">
        <is>
          <t>2026-08-25T00:00:00Z</t>
        </is>
      </c>
      <c r="E13" s="7" t="inlineStr">
        <is>
          <t>中</t>
        </is>
      </c>
      <c r="F13" s="8" t="inlineStr">
        <is>
          <t>已完成</t>
        </is>
      </c>
      <c r="G13" s="3" t="inlineStr">
        <is>
          <t>已实现。子问题分阶段求解即分布式推理落地</t>
        </is>
      </c>
      <c r="H13" s="3" t="inlineStr">
        <is>
          <t>李老师8/25</t>
        </is>
      </c>
    </row>
    <row r="14">
      <c r="A14" s="2" t="inlineStr">
        <is>
          <t>13</t>
        </is>
      </c>
      <c r="B14" s="3" t="inlineStr">
        <is>
          <t>记忆功能关键：多轮上下文设计既要保持前后延续性又要保持细节注意力；尝试 LangMem / 定制记忆智能体模板（参考书中5.4节与Re-Act循环）</t>
        </is>
      </c>
      <c r="C14" s="3" t="inlineStr">
        <is>
          <t>记忆系统</t>
        </is>
      </c>
      <c r="D14" s="4" t="inlineStr">
        <is>
          <t>2026-08-25T00:00:00Z</t>
        </is>
      </c>
      <c r="E14" s="5" t="inlineStr">
        <is>
          <t>高</t>
        </is>
      </c>
      <c r="F14" s="7" t="inlineStr">
        <is>
          <t>待办</t>
        </is>
      </c>
      <c r="G14" s="3" t="inlineStr">
        <is>
          <t>未实现。仅单题内共享黑板，无跨题/跨会话持久记忆，未用LangMem或定制记忆模板</t>
        </is>
      </c>
      <c r="H14" s="3" t="inlineStr">
        <is>
          <t>李老师8/25</t>
        </is>
      </c>
    </row>
    <row r="15">
      <c r="A15" s="2" t="inlineStr">
        <is>
          <t>14</t>
        </is>
      </c>
      <c r="B15" s="3" t="inlineStr">
        <is>
          <t>利用 LangGraph checkpoint 维持循环；裸模型无状态需记忆支撑</t>
        </is>
      </c>
      <c r="C15" s="3" t="inlineStr">
        <is>
          <t>记忆系统</t>
        </is>
      </c>
      <c r="D15" s="4" t="inlineStr">
        <is>
          <t>2026-08-25T00:00:00Z</t>
        </is>
      </c>
      <c r="E15" s="7" t="inlineStr">
        <is>
          <t>中</t>
        </is>
      </c>
      <c r="F15" s="7" t="inlineStr">
        <is>
          <t>待办</t>
        </is>
      </c>
      <c r="G15" s="3" t="inlineStr">
        <is>
          <t>未实现。无LangGraph checkpoint持久化，仅run_eval文件级断点续跑</t>
        </is>
      </c>
      <c r="H15" s="3" t="inlineStr">
        <is>
          <t>李老师8/25</t>
        </is>
      </c>
    </row>
    <row r="16">
      <c r="A16" s="2" t="inlineStr">
        <is>
          <t>15</t>
        </is>
      </c>
      <c r="B16" s="3" t="inlineStr">
        <is>
          <t>在公开测试基准（IMO基准等）上做实验，将书生与 deepseek 对比测试，发现问题</t>
        </is>
      </c>
      <c r="C16" s="3" t="inlineStr">
        <is>
          <t>测试基准</t>
        </is>
      </c>
      <c r="D16" s="4" t="inlineStr">
        <is>
          <t>2026-08-11T00:00:00Z</t>
        </is>
      </c>
      <c r="E16" s="5" t="inlineStr">
        <is>
          <t>高</t>
        </is>
      </c>
      <c r="F16" s="8" t="inlineStr">
        <is>
          <t>已完成</t>
        </is>
      </c>
      <c r="G16" s="3" t="inlineStr">
        <is>
          <t>已实现。测试工具链：书生推理+DeepSeek判分+错误类型统计，内置IMO基准题库</t>
        </is>
      </c>
      <c r="H16" s="3" t="inlineStr">
        <is>
          <t>李老师8/11</t>
        </is>
      </c>
    </row>
    <row r="17">
      <c r="A17" s="2" t="inlineStr">
        <is>
          <t>16</t>
        </is>
      </c>
      <c r="B17" s="3" t="inlineStr">
        <is>
          <t>对错误回答甄别（题目已知前提下），定位错误是推理链问题还是理解问题</t>
        </is>
      </c>
      <c r="C17" s="3" t="inlineStr">
        <is>
          <t>测试基准</t>
        </is>
      </c>
      <c r="D17" s="4" t="inlineStr">
        <is>
          <t>2026-08-20T00:00:00Z</t>
        </is>
      </c>
      <c r="E17" s="5" t="inlineStr">
        <is>
          <t>高</t>
        </is>
      </c>
      <c r="F17" s="7" t="inlineStr">
        <is>
          <t>待办</t>
        </is>
      </c>
      <c r="G17" s="3" t="inlineStr">
        <is>
          <t>未实现。智能体未对错误回答做'推理链vs理解'显式甄别，仅离线判分工具有相近字段</t>
        </is>
      </c>
      <c r="H17" s="3" t="inlineStr">
        <is>
          <t>李老师8/20</t>
        </is>
      </c>
    </row>
    <row r="18">
      <c r="A18" s="2" t="inlineStr">
        <is>
          <t>17</t>
        </is>
      </c>
      <c r="B18" s="3" t="inlineStr">
        <is>
          <t>尝试并行接入多个模型，分别对书生推理过程判断后综合处理（deepseek 不可完全信任）</t>
        </is>
      </c>
      <c r="C18" s="3" t="inlineStr">
        <is>
          <t>测试基准</t>
        </is>
      </c>
      <c r="D18" s="4" t="inlineStr">
        <is>
          <t>2026-08-12T00:00:00Z</t>
        </is>
      </c>
      <c r="E18" s="7" t="inlineStr">
        <is>
          <t>中</t>
        </is>
      </c>
      <c r="F18" s="7" t="inlineStr">
        <is>
          <t>待办</t>
        </is>
      </c>
      <c r="G18" s="3" t="inlineStr">
        <is>
          <t>未实现。运行时单一模型投票，无并行多模型动态融合</t>
        </is>
      </c>
      <c r="H18" s="3" t="inlineStr">
        <is>
          <t>李老师8/12</t>
        </is>
      </c>
    </row>
    <row r="19">
      <c r="A19" s="2" t="inlineStr">
        <is>
          <t>18</t>
        </is>
      </c>
      <c r="B19" s="3" t="inlineStr">
        <is>
          <t>区分长推理中「上下文过大」与「上下文丢失」（若无持久化会话中断会丢失），针对性处理</t>
        </is>
      </c>
      <c r="C19" s="3" t="inlineStr">
        <is>
          <t>测试基准</t>
        </is>
      </c>
      <c r="D19" s="4" t="inlineStr">
        <is>
          <t>2026-08-15T00:00:00Z</t>
        </is>
      </c>
      <c r="E19" s="7" t="inlineStr">
        <is>
          <t>中</t>
        </is>
      </c>
      <c r="F19" s="7" t="inlineStr">
        <is>
          <t>待办</t>
        </is>
      </c>
      <c r="G19" s="3" t="inlineStr">
        <is>
          <t>未实现。仅有上下文超长重试与文件断点续跑，未区分'过大'与'丢失'</t>
        </is>
      </c>
      <c r="H19" s="3" t="inlineStr">
        <is>
          <t>李老师8/15</t>
        </is>
      </c>
    </row>
    <row r="20">
      <c r="A20" s="2" t="inlineStr">
        <is>
          <t>19</t>
        </is>
      </c>
      <c r="B20" s="3" t="inlineStr">
        <is>
          <t>本地部署 deepseek harness 对接书生模型，评估是否提升数学解题；了解 deepseek 数学智能体工作过程</t>
        </is>
      </c>
      <c r="C20" s="3" t="inlineStr">
        <is>
          <t>模型harness</t>
        </is>
      </c>
      <c r="D20" s="4" t="inlineStr">
        <is>
          <t>2026-08-16T00:00:00Z</t>
        </is>
      </c>
      <c r="E20" s="7" t="inlineStr">
        <is>
          <t>中</t>
        </is>
      </c>
      <c r="F20" s="8" t="inlineStr">
        <is>
          <t>已完成</t>
        </is>
      </c>
      <c r="G20" s="3" t="inlineStr">
        <is>
          <t>已实现。测试工具DeepSeek评判模块+multi_agent_runner把书生接入主框架</t>
        </is>
      </c>
      <c r="H20" s="3" t="inlineStr">
        <is>
          <t>李老师8/16</t>
        </is>
      </c>
    </row>
    <row r="21">
      <c r="A21" s="2" t="inlineStr">
        <is>
          <t>20</t>
        </is>
      </c>
      <c r="B21" s="3" t="inlineStr">
        <is>
          <t>用新书生模型（Intern-S2-Preview-397B）打榜并跑测试基准，反馈结果</t>
        </is>
      </c>
      <c r="C21" s="3" t="inlineStr">
        <is>
          <t>模型harness</t>
        </is>
      </c>
      <c r="D21" s="4" t="inlineStr">
        <is>
          <t>2026-08-15T00:00:00Z</t>
        </is>
      </c>
      <c r="E21" s="7" t="inlineStr">
        <is>
          <t>中</t>
        </is>
      </c>
      <c r="F21" s="6" t="inlineStr">
        <is>
          <t>进行中</t>
        </is>
      </c>
      <c r="G21" s="3" t="inlineStr">
        <is>
          <t>需确认Intern-S2-Preview-397B等新版模型是否已接入打榜与基准测试流程</t>
        </is>
      </c>
      <c r="H21" s="3" t="inlineStr">
        <is>
          <t>李老师8/15</t>
        </is>
      </c>
    </row>
    <row r="22">
      <c r="A22" s="2" t="inlineStr">
        <is>
          <t>21</t>
        </is>
      </c>
      <c r="B22" s="3" t="inlineStr">
        <is>
          <t>提交材料需提炼出有价值结论，页面内容做深度提炼（初赛40%来自材料与演示）</t>
        </is>
      </c>
      <c r="C22" s="3" t="inlineStr">
        <is>
          <t>材料产出</t>
        </is>
      </c>
      <c r="D22" s="4" t="inlineStr">
        <is>
          <t>2026-08-20T00:00:00Z</t>
        </is>
      </c>
      <c r="E22" s="5" t="inlineStr">
        <is>
          <t>高</t>
        </is>
      </c>
      <c r="F22" s="7" t="inlineStr">
        <is>
          <t>待办</t>
        </is>
      </c>
      <c r="G22" s="3" t="inlineStr">
        <is>
          <t>材料层面，非代码。提交材料需提炼有价值结论，目前未系统做</t>
        </is>
      </c>
      <c r="H22" s="3" t="inlineStr">
        <is>
          <t>李老师8/20</t>
        </is>
      </c>
    </row>
    <row r="23">
      <c r="A23" s="2" t="inlineStr">
        <is>
          <t>22</t>
        </is>
      </c>
      <c r="B23" s="3" t="inlineStr">
        <is>
          <t>将比赛前后经历总结外化为专利和论文，眼光放长远（不只是一锤子买卖）</t>
        </is>
      </c>
      <c r="C23" s="3" t="inlineStr">
        <is>
          <t>材料产出</t>
        </is>
      </c>
      <c r="D23" s="4" t="inlineStr">
        <is>
          <t>2026-08-20T00:00:00Z</t>
        </is>
      </c>
      <c r="E23" s="7" t="inlineStr">
        <is>
          <t>中</t>
        </is>
      </c>
      <c r="F23" s="7" t="inlineStr">
        <is>
          <t>待办</t>
        </is>
      </c>
      <c r="G23" s="3" t="inlineStr">
        <is>
          <t>未实现(产出层面)。可外化专利论文</t>
        </is>
      </c>
      <c r="H23" s="3" t="inlineStr">
        <is>
          <t>李老师8/20</t>
        </is>
      </c>
    </row>
    <row r="24">
      <c r="A24" s="2" t="inlineStr">
        <is>
          <t>23</t>
        </is>
      </c>
      <c r="B24" s="3" t="inlineStr">
        <is>
          <t>尝试在 CodeBuddy 中下载优秀框架及规范，让其遵循规范自动生成合规代码（参考被多框架引用的文献架构）</t>
        </is>
      </c>
      <c r="C24" s="3" t="inlineStr">
        <is>
          <t>材料产出</t>
        </is>
      </c>
      <c r="D24" s="4" t="inlineStr">
        <is>
          <t>2026-08-19T00:00:00Z</t>
        </is>
      </c>
      <c r="E24" s="7" t="inlineStr">
        <is>
          <t>中</t>
        </is>
      </c>
      <c r="F24" s="7" t="inlineStr">
        <is>
          <t>待办</t>
        </is>
      </c>
      <c r="G24" s="3" t="inlineStr">
        <is>
          <t>未实现(代码层面)。未做CodeBuddy下载框架规范自动生成合规代码</t>
        </is>
      </c>
      <c r="H24" s="3" t="inlineStr">
        <is>
          <t>李老师8/19</t>
        </is>
      </c>
    </row>
    <row r="25">
      <c r="A25" s="2" t="inlineStr">
        <is>
          <t>24</t>
        </is>
      </c>
      <c r="B25" s="3" t="inlineStr">
        <is>
          <t>从文献获取前人经验，尝试复现论文</t>
        </is>
      </c>
      <c r="C25" s="3" t="inlineStr">
        <is>
          <t>管理协作</t>
        </is>
      </c>
      <c r="D25" s="4" t="inlineStr">
        <is>
          <t>2026-08-08T00:00:00Z</t>
        </is>
      </c>
      <c r="E25" s="7" t="inlineStr">
        <is>
          <t>中</t>
        </is>
      </c>
      <c r="F25" s="7" t="inlineStr">
        <is>
          <t>待办</t>
        </is>
      </c>
      <c r="G25" s="3" t="inlineStr">
        <is>
          <t>未实现。未做论文复现</t>
        </is>
      </c>
      <c r="H25" s="3" t="inlineStr">
        <is>
          <t>李老师8/08</t>
        </is>
      </c>
    </row>
    <row r="26">
      <c r="A26" s="2" t="inlineStr">
        <is>
          <t>25</t>
        </is>
      </c>
      <c r="B26" s="3" t="inlineStr">
        <is>
          <t>与刘邵庆合理分工；考虑提前来校（老师安排食宿）</t>
        </is>
      </c>
      <c r="C26" s="3" t="inlineStr">
        <is>
          <t>管理协作</t>
        </is>
      </c>
      <c r="D26" s="4" t="inlineStr">
        <is>
          <t>2026-08-20T00:00:00Z</t>
        </is>
      </c>
      <c r="E26" s="9" t="inlineStr">
        <is>
          <t>低</t>
        </is>
      </c>
      <c r="F26" s="7" t="inlineStr">
        <is>
          <t>待办</t>
        </is>
      </c>
      <c r="G26" s="3" t="inlineStr">
        <is>
          <t>管理层面，非代码。与刘邵庆分工、提前来校安排</t>
        </is>
      </c>
      <c r="H26" s="3" t="inlineStr">
        <is>
          <t>李老师8/20、8/25</t>
        </is>
      </c>
    </row>
    <row r="27">
      <c r="A27" s="2" t="inlineStr">
        <is>
          <t>26</t>
        </is>
      </c>
      <c r="B27" s="3" t="inlineStr">
        <is>
          <t>让书生(Intern-S1)先生成题目骨架(sketch)/Informal Blueprint（论文末页 Proof Body Outline）：先产出证明大纲/项目骨架，再进入求解，而非直接生成完整证明。</t>
        </is>
      </c>
      <c r="C27" s="3" t="inlineStr">
        <is>
          <t>验证/Mathlib</t>
        </is>
      </c>
      <c r="D27" s="4" t="inlineStr">
        <is>
          <t>2026-08-26T00:00:00Z</t>
        </is>
      </c>
      <c r="E27" s="5" t="inlineStr">
        <is>
          <t>高</t>
        </is>
      </c>
      <c r="F27" s="7" t="inlineStr">
        <is>
          <t>待办</t>
        </is>
      </c>
      <c r="G27" s="3" t="inlineStr">
        <is>
          <t>论文方法借鉴；尚未在智能体中实现"先出骨架再求解"的流程。</t>
        </is>
      </c>
      <c r="H27" s="3" t="inlineStr">
        <is>
          <t>李老师8/26 19:08</t>
        </is>
      </c>
    </row>
    <row r="28">
      <c r="A28" s="2" t="inlineStr">
        <is>
          <t>27</t>
        </is>
      </c>
      <c r="B28" s="3" t="inlineStr">
        <is>
          <t>用 Blueprint 工具从骨架提取依赖关系，针对具体问题自动拆出多个子目标（依赖驱动的分解，而非简单切块）。</t>
        </is>
      </c>
      <c r="C28" s="3" t="inlineStr">
        <is>
          <t>系统架构</t>
        </is>
      </c>
      <c r="D28" s="4" t="inlineStr">
        <is>
          <t>2026-08-26T00:00:00Z</t>
        </is>
      </c>
      <c r="E28" s="5" t="inlineStr">
        <is>
          <t>高</t>
        </is>
      </c>
      <c r="F28" s="7" t="inlineStr">
        <is>
          <t>待办</t>
        </is>
      </c>
      <c r="G28" s="3" t="inlineStr">
        <is>
          <t>已有 SubGoalSolver 按有序子目标求解，但非"Blueprint 依赖提取"驱动；待引入依赖图式拆解。</t>
        </is>
      </c>
      <c r="H28" s="3" t="inlineStr">
        <is>
          <t>李老师8/26 19:08</t>
        </is>
      </c>
    </row>
    <row r="29">
      <c r="A29" s="2" t="inlineStr">
        <is>
          <t>28</t>
        </is>
      </c>
      <c r="B29" s="3" t="inlineStr">
        <is>
          <t>骨架/sketch 的严谨性需经 Lean 语法与类型审核：书生给出的 sketch 必须先过 Lean 语法检查，确认形式化骨架合法后再推进（形式化前置审核阶段化）。</t>
        </is>
      </c>
      <c r="C29" s="3" t="inlineStr">
        <is>
          <t>验证/Mathlib</t>
        </is>
      </c>
      <c r="D29" s="4" t="inlineStr">
        <is>
          <t>2026-08-26T00:00:00Z</t>
        </is>
      </c>
      <c r="E29" s="5" t="inlineStr">
        <is>
          <t>高</t>
        </is>
      </c>
      <c r="F29" s="6" t="inlineStr">
        <is>
          <t>进行中</t>
        </is>
      </c>
      <c r="G29" s="3" t="inlineStr">
        <is>
          <t>formalize_problem 已能编译校验题目+抽取缺口(formal_gaps)，但仅作用于最终证明前置；需扩展到 sketch/骨架阶段做语法审核。</t>
        </is>
      </c>
      <c r="H29" s="3" t="inlineStr">
        <is>
          <t>李老师8/26 19:09/19:13</t>
        </is>
      </c>
    </row>
    <row r="30">
      <c r="A30" s="2" t="inlineStr">
        <is>
          <t>29</t>
        </is>
      </c>
      <c r="B30" s="3" t="inlineStr">
        <is>
          <t>子目标在实现上对应到子智能体；需注意子智能体的动态创建与回溯（失败回退/重规划），不能用固定静态管线硬套。</t>
        </is>
      </c>
      <c r="C30" s="3" t="inlineStr">
        <is>
          <t>系统架构</t>
        </is>
      </c>
      <c r="D30" s="4" t="inlineStr">
        <is>
          <t>2026-08-26T00:00:00Z</t>
        </is>
      </c>
      <c r="E30" s="5" t="inlineStr">
        <is>
          <t>高</t>
        </is>
      </c>
      <c r="F30" s="7" t="inlineStr">
        <is>
          <t>待办</t>
        </is>
      </c>
      <c r="G30" s="3" t="inlineStr">
        <is>
          <t>SubGoalSolver 已有子目标序列与逐步求解，但子目标→动态子智能体映射、回溯机制尚未实现。</t>
        </is>
      </c>
      <c r="H30" s="3" t="inlineStr">
        <is>
          <t>李老师8/26 19:14</t>
        </is>
      </c>
    </row>
    <row r="31">
      <c r="A31" s="2" t="inlineStr">
        <is>
          <t>30</t>
        </is>
      </c>
      <c r="B31" s="3" t="inlineStr">
        <is>
          <t>求解子目标时需要 lemma 记忆机制：累积/复用已证引理，避免重复证明、支撑子智能体间传递已知条件。</t>
        </is>
      </c>
      <c r="C31" s="3" t="inlineStr">
        <is>
          <t>记忆系统</t>
        </is>
      </c>
      <c r="D31" s="4" t="inlineStr">
        <is>
          <t>2026-08-26T00:00:00Z</t>
        </is>
      </c>
      <c r="E31" s="5" t="inlineStr">
        <is>
          <t>高</t>
        </is>
      </c>
      <c r="F31" s="7" t="inlineStr">
        <is>
          <t>部分完成(A/B 已测)</t>
        </is>
      </c>
      <c r="G31" s="3" t="inlineStr">
        <is>
          <t>题目内 lemma 累积已真正接通（子目标结论写入 lemma_repo + 提示词注入，此前是无人写入的假钥匙）。45 题 A/B 实测：净 0.0pp（4 挽回 vs 4 真回退），数论子域 +23pp(31→54%)。保持默认关，按领域开启待后续</t>
        </is>
      </c>
      <c r="H31" s="3" t="inlineStr">
        <is>
          <t>李老师8/26 19:14</t>
        </is>
      </c>
    </row>
    <row r="32">
      <c r="A32" s="2" t="inlineStr">
        <is>
          <t>31</t>
        </is>
      </c>
      <c r="B32" s="3" t="inlineStr">
        <is>
          <t>求解子目标关键在定理的 Mathlib 搜索：评估以前给的 leansearch 是否启用，先试试再决定；检索到定理后用于支撑子目标证明。</t>
        </is>
      </c>
      <c r="C32" s="3" t="inlineStr">
        <is>
          <t>验证/Mathlib</t>
        </is>
      </c>
      <c r="D32" s="4" t="inlineStr">
        <is>
          <t>2026-08-26T00:00:00Z</t>
        </is>
      </c>
      <c r="E32" s="7" t="inlineStr">
        <is>
          <t>中</t>
        </is>
      </c>
      <c r="F32" s="7" t="inlineStr">
        <is>
          <t>已完成(数据结论)</t>
        </is>
      </c>
      <c r="G32" s="3" t="inlineStr">
        <is>
          <t>已实现并做 3 题 mini A/B：开=0 挽回、1 回退，耗时+19s/题。关键词打分器只对英文/mathlib 风格查询有效，中文/LaTeX 查询返回空。结论：保持关闭，升级语义检索(嵌入)为后续项</t>
        </is>
      </c>
      <c r="H32" s="3" t="inlineStr">
        <is>
          <t>李老师8/26 19:14</t>
        </is>
      </c>
    </row>
    <row r="33">
      <c r="A33" s="2" t="inlineStr">
        <is>
          <t>32</t>
        </is>
      </c>
      <c r="B33" s="3" t="inlineStr">
        <is>
          <t>形成推理闭环：搜到定理 → AI 做 informal 推理 → 将推理翻译成 Lean → 再用 Lean 审核。每步衔接需可靠，避免"搜到不会用"。</t>
        </is>
      </c>
      <c r="C33" s="3" t="inlineStr">
        <is>
          <t>验证/Mathlib</t>
        </is>
      </c>
      <c r="D33" s="4" t="inlineStr">
        <is>
          <t>2026-08-26T00:00:00Z</t>
        </is>
      </c>
      <c r="E33" s="5" t="inlineStr">
        <is>
          <t>高</t>
        </is>
      </c>
      <c r="F33" s="7" t="inlineStr">
        <is>
          <t>部分完成</t>
        </is>
      </c>
      <c r="G33" s="3" t="inlineStr">
        <is>
          <t>闭环已具备：前置形式化(理解) → 骨架 Lean 语法审核 → 子目标求解 → 结构化 bug report 验证。验证-精炼循环依 IMO2025 论文落地（验证者≠解题者、问题二分、连续通过验收）</t>
        </is>
      </c>
      <c r="H33" s="3" t="inlineStr">
        <is>
          <t>李老师8/26 19:17</t>
        </is>
      </c>
    </row>
    <row r="34">
      <c r="A34" s="2" t="inlineStr">
        <is>
          <t>33</t>
        </is>
      </c>
      <c r="B34" s="3" t="inlineStr">
        <is>
          <t>让 AI 直接用 Mathlib 回答问题：在 lean↔mathlib 通道之上，尝试让模型在解答时实际调用 Mathlib 定理/tactic，而非仅做验证。</t>
        </is>
      </c>
      <c r="C34" s="3" t="inlineStr">
        <is>
          <t>模型harness</t>
        </is>
      </c>
      <c r="D34" s="4" t="inlineStr">
        <is>
          <t>2026-08-26T00:00:00Z</t>
        </is>
      </c>
      <c r="E34" s="7" t="inlineStr">
        <is>
          <t>中</t>
        </is>
      </c>
      <c r="F34" s="6" t="inlineStr">
        <is>
          <t>部分完成(A/B 已测)</t>
        </is>
      </c>
      <c r="G34" s="3" t="inlineStr">
        <is>
          <t>lean↔mathlib 通道已通；DeepSeek 夜降成本方案待验证。45 题基线 22.2%，expr_wrong 占 69%（推理深度是主瓶颈，验证-精炼循环是主杠杆）</t>
        </is>
      </c>
      <c r="H34" s="3" t="inlineStr">
        <is>
          <t>李老师8/26 19:19</t>
        </is>
      </c>
    </row>
  </sheetData>
  <autoFilter ref="A1:H3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0" customWidth="1" min="4" max="4"/>
  </cols>
  <sheetData>
    <row r="1">
      <c r="A1" s="10" t="inlineStr">
        <is>
          <t>状态</t>
        </is>
      </c>
      <c r="B1" s="10" t="inlineStr">
        <is>
          <t>数量</t>
        </is>
      </c>
      <c r="C1" s="10" t="inlineStr">
        <is>
          <t>优先级</t>
        </is>
      </c>
      <c r="D1" s="10" t="inlineStr">
        <is>
          <t>数量</t>
        </is>
      </c>
    </row>
    <row r="2">
      <c r="A2" s="11" t="inlineStr">
        <is>
          <t>已完成</t>
        </is>
      </c>
      <c r="B2" s="12">
        <f>COUNTIF(老师要求跟踪!$F$2:$F$34,A2)</f>
        <v/>
      </c>
      <c r="C2" s="11" t="inlineStr">
        <is>
          <t>高</t>
        </is>
      </c>
      <c r="D2" s="12">
        <f>COUNTIF(老师要求跟踪!$E$2:$E$34,C2)</f>
        <v/>
      </c>
    </row>
    <row r="3">
      <c r="A3" s="11" t="inlineStr">
        <is>
          <t>进行中</t>
        </is>
      </c>
      <c r="B3" s="12">
        <f>COUNTIF(老师要求跟踪!$F$2:$F$34,A3)</f>
        <v/>
      </c>
      <c r="C3" s="11" t="inlineStr">
        <is>
          <t>中</t>
        </is>
      </c>
      <c r="D3" s="12">
        <f>COUNTIF(老师要求跟踪!$E$2:$E$34,C3)</f>
        <v/>
      </c>
    </row>
    <row r="4">
      <c r="A4" s="11" t="inlineStr">
        <is>
          <t>待办</t>
        </is>
      </c>
      <c r="B4" s="12">
        <f>COUNTIF(老师要求跟踪!$F$2:$F$34,A4)</f>
        <v/>
      </c>
      <c r="C4" s="11" t="inlineStr">
        <is>
          <t>低</t>
        </is>
      </c>
      <c r="D4" s="12">
        <f>COUNTIF(老师要求跟踪!$E$2:$E$34,C4)</f>
        <v/>
      </c>
    </row>
    <row r="5">
      <c r="A5" s="13" t="inlineStr">
        <is>
          <t>合计</t>
        </is>
      </c>
      <c r="B5" s="14">
        <f>SUM(B2:B4)</f>
        <v/>
      </c>
      <c r="C5" s="13" t="inlineStr">
        <is>
          <t>合计</t>
        </is>
      </c>
      <c r="D5" s="14">
        <f>SUM(D2:D4)</f>
        <v/>
      </c>
    </row>
    <row r="7">
      <c r="A7" s="10" t="inlineStr">
        <is>
          <t>类别</t>
        </is>
      </c>
      <c r="B7" s="10" t="inlineStr">
        <is>
          <t>数量</t>
        </is>
      </c>
    </row>
    <row r="8">
      <c r="A8" s="11" t="inlineStr">
        <is>
          <t>验证/Mathlib</t>
        </is>
      </c>
      <c r="B8" s="12">
        <f>COUNTIF(老师要求跟踪!$C$2:$C$34,A8)</f>
        <v/>
      </c>
    </row>
    <row r="9">
      <c r="A9" s="11" t="inlineStr">
        <is>
          <t>系统架构</t>
        </is>
      </c>
      <c r="B9" s="12">
        <f>COUNTIF(老师要求跟踪!$C$2:$C$34,A9)</f>
        <v/>
      </c>
    </row>
    <row r="10">
      <c r="A10" s="11" t="inlineStr">
        <is>
          <t>记忆系统</t>
        </is>
      </c>
      <c r="B10" s="12">
        <f>COUNTIF(老师要求跟踪!$C$2:$C$34,A10)</f>
        <v/>
      </c>
    </row>
    <row r="11">
      <c r="A11" s="11" t="inlineStr">
        <is>
          <t>提示词推理</t>
        </is>
      </c>
      <c r="B11" s="12">
        <f>COUNTIF(老师要求跟踪!$C$2:$C$34,A11)</f>
        <v/>
      </c>
    </row>
    <row r="12">
      <c r="A12" s="11" t="inlineStr">
        <is>
          <t>测试基准</t>
        </is>
      </c>
      <c r="B12" s="12">
        <f>COUNTIF(老师要求跟踪!$C$2:$C$34,A12)</f>
        <v/>
      </c>
    </row>
    <row r="13">
      <c r="A13" s="11" t="inlineStr">
        <is>
          <t>模型harness</t>
        </is>
      </c>
      <c r="B13" s="12">
        <f>COUNTIF(老师要求跟踪!$C$2:$C$34,A13)</f>
        <v/>
      </c>
    </row>
    <row r="14">
      <c r="A14" s="11" t="inlineStr">
        <is>
          <t>材料产出</t>
        </is>
      </c>
      <c r="B14" s="12">
        <f>COUNTIF(老师要求跟踪!$C$2:$C$34,A14)</f>
        <v/>
      </c>
    </row>
    <row r="15">
      <c r="A15" s="11" t="inlineStr">
        <is>
          <t>管理协作</t>
        </is>
      </c>
      <c r="B15" s="12">
        <f>COUNTIF(老师要求跟踪!$C$2:$C$34,A15)</f>
        <v/>
      </c>
    </row>
    <row r="16">
      <c r="A16" s="13" t="inlineStr">
        <is>
          <t>合计</t>
        </is>
      </c>
      <c r="B16" s="14">
        <f>SUM(B8:B15)</f>
        <v/>
      </c>
    </row>
    <row r="18">
      <c r="A18" s="10" t="inlineStr">
        <is>
          <t>8/26 新增(#26-33)</t>
        </is>
      </c>
      <c r="B18" s="10" t="inlineStr">
        <is>
          <t>数量</t>
        </is>
      </c>
    </row>
    <row r="19">
      <c r="A19" s="11" t="inlineStr">
        <is>
          <t>新增条数</t>
        </is>
      </c>
      <c r="B19" s="12">
        <f>COUNTIF(老师要求跟踪!$A$2:$A$34,"&gt;=26")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2026-08-26T12:07:23Z</dcterms:created>
  <dcterms:modified xmlns:dcterms="http://purl.org/dc/terms/" xmlns:xsi="http://www.w3.org/2001/XMLSchema-instance" xsi:type="dcterms:W3CDTF">2026-08-29T07:30:28Z</dcterms:modified>
</cp:coreProperties>
</file>